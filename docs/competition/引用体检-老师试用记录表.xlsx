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用记录表" sheetId="1" state="visible" r:id="rId1"/>
  </sheets>
  <definedNames>
    <definedName name="_xlnm.Print_Area" localSheetId="0">'试用记录表'!$A$1:$D$136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微软雅黑"/>
      <b val="1"/>
      <color rgb="001D1A16"/>
      <sz val="16"/>
    </font>
    <font>
      <name val="微软雅黑"/>
      <color rgb="001D1A16"/>
      <sz val="10.5"/>
    </font>
    <font>
      <name val="微软雅黑"/>
      <color rgb="00736A5E"/>
      <sz val="10.5"/>
    </font>
    <font>
      <name val="微软雅黑"/>
      <color rgb="000563C1"/>
      <sz val="10.5"/>
      <u val="single"/>
    </font>
    <font>
      <name val="微软雅黑"/>
      <b val="1"/>
      <color rgb="009B2C24"/>
      <sz val="12"/>
    </font>
    <font>
      <name val="微软雅黑"/>
      <b val="1"/>
      <color rgb="001D1A16"/>
      <sz val="10"/>
    </font>
    <font>
      <name val="微软雅黑"/>
      <color rgb="00736A5E"/>
      <sz val="10"/>
    </font>
    <font>
      <name val="微软雅黑"/>
      <color rgb="00736A5E"/>
      <sz val="9.5"/>
      <u val="single"/>
    </font>
    <font>
      <name val="微软雅黑"/>
      <b val="1"/>
      <color rgb="00736A5E"/>
      <sz val="12"/>
    </font>
  </fonts>
  <fills count="7">
    <fill>
      <patternFill/>
    </fill>
    <fill>
      <patternFill patternType="gray125"/>
    </fill>
    <fill>
      <patternFill patternType="solid">
        <fgColor rgb="00F6E7E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2" fillId="0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164" fontId="2" fillId="4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6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delscope.cn/studios/kgkvybu111111/cite-checkup?mode=full" TargetMode="External" Id="rId1"/><Relationship Type="http://schemas.openxmlformats.org/officeDocument/2006/relationships/hyperlink" Target="https://doi.org/10.1201/9781498710411-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6"/>
  <sheetViews>
    <sheetView showGridLines="0" workbookViewId="0">
      <selection activeCell="C11" sqref="C11"/>
    </sheetView>
  </sheetViews>
  <sheetFormatPr baseColWidth="8" defaultRowHeight="15"/>
  <cols>
    <col width="6" customWidth="1" min="1" max="1"/>
    <col width="48" customWidth="1" min="2" max="2"/>
    <col width="15" customWidth="1" min="3" max="3"/>
    <col width="33" customWidth="1" min="4" max="4"/>
  </cols>
  <sheetData>
    <row r="1" ht="34" customHeight="1">
      <c r="A1" s="1" t="inlineStr">
        <is>
          <t>引用体检 · 老师试用记录表</t>
        </is>
      </c>
    </row>
    <row r="2" ht="23.5" customHeight="1">
      <c r="A2" s="2" t="inlineStr">
        <is>
          <t>请用一份真实的参考文献列表试用约 20–30 分钟，从上到下填完，连同下载的核查报告一起交回。</t>
        </is>
      </c>
    </row>
    <row r="3" ht="23.5" customHeight="1">
      <c r="A3" s="3" t="inlineStr">
        <is>
          <t>黄色格子要填，带小三角的格子点开可以下拉选择；白色格子可以不填。</t>
        </is>
      </c>
    </row>
    <row r="4" ht="23.5" customHeight="1">
      <c r="A4" s="4" t="inlineStr">
        <is>
          <t>试用入口：https://www.modelscope.cn/studios/kgkvybu111111/cite-checkup?mode=full</t>
        </is>
      </c>
    </row>
    <row r="5" ht="23.5" customHeight="1">
      <c r="A5" s="3" t="inlineStr">
        <is>
          <t>魔搭创空间，不用登录，电脑、手机都能打开；第一次打开要等约半分钟。</t>
        </is>
      </c>
    </row>
    <row r="6" ht="23.5" customHeight="1">
      <c r="A6" s="3" t="inlineStr">
        <is>
          <t>匿名填写，只写编号和学科；卡住了再问组织者，并在第五部分记下卡在哪一步。</t>
        </is>
      </c>
    </row>
    <row r="7" ht="40" customHeight="1">
      <c r="A7" s="3" t="inlineStr">
        <is>
          <t>隐私：普通体检只把参考文献条目发给 Crossref、OpenAlex 等公开数据库；“AI 继续查”、截图识别和论断核查会把相应文字发给 DeepSeek。学生未公开的论文请先征得本人同意。</t>
        </is>
      </c>
    </row>
    <row r="8" ht="10" customHeight="1"/>
    <row r="9" ht="26" customHeight="1">
      <c r="A9" s="5" t="inlineStr">
        <is>
          <t>一、基本信息</t>
        </is>
      </c>
      <c r="B9" s="6" t="n"/>
      <c r="C9" s="6" t="n"/>
      <c r="D9" s="6" t="n"/>
    </row>
    <row r="10" ht="22" customHeight="1">
      <c r="A10" s="7" t="inlineStr">
        <is>
          <t>序</t>
        </is>
      </c>
      <c r="B10" s="7" t="inlineStr">
        <is>
          <t>项目</t>
        </is>
      </c>
      <c r="C10" s="7" t="inlineStr">
        <is>
          <t>填写</t>
        </is>
      </c>
      <c r="D10" s="7" t="inlineStr">
        <is>
          <t>补充说明（可不填）</t>
        </is>
      </c>
    </row>
    <row r="11" ht="23.5" customHeight="1">
      <c r="A11" s="8" t="n">
        <v>1</v>
      </c>
      <c r="B11" s="9" t="inlineStr">
        <is>
          <t>编号（组织者给，如 T1）</t>
        </is>
      </c>
      <c r="C11" s="10" t="n"/>
      <c r="D11" s="9" t="n"/>
    </row>
    <row r="12" ht="23.5" customHeight="1">
      <c r="A12" s="8" t="n">
        <v>2</v>
      </c>
      <c r="B12" s="9" t="inlineStr">
        <is>
          <t>学科 / 院系</t>
        </is>
      </c>
      <c r="C12" s="10" t="n"/>
      <c r="D12" s="9" t="n"/>
    </row>
    <row r="13" ht="23.5" customHeight="1">
      <c r="A13" s="8" t="n">
        <v>3</v>
      </c>
      <c r="B13" s="9" t="inlineStr">
        <is>
          <t>身份</t>
        </is>
      </c>
      <c r="C13" s="10" t="n"/>
      <c r="D13" s="9" t="n"/>
    </row>
    <row r="14" ht="23.5" customHeight="1">
      <c r="A14" s="8" t="n">
        <v>4</v>
      </c>
      <c r="B14" s="9" t="inlineStr">
        <is>
          <t>平时核对学生论文的参考文献</t>
        </is>
      </c>
      <c r="C14" s="10" t="n"/>
      <c r="D14" s="9" t="n"/>
    </row>
    <row r="15" ht="40" customHeight="1">
      <c r="A15" s="8" t="n">
        <v>5</v>
      </c>
      <c r="B15" s="9" t="inlineStr">
        <is>
          <t>设备（右边可写浏览器，如 Edge、Chrome、微信里打开）</t>
        </is>
      </c>
      <c r="C15" s="10" t="n"/>
      <c r="D15" s="9" t="n"/>
    </row>
    <row r="16" ht="23.5" customHeight="1">
      <c r="A16" s="8" t="n">
        <v>6</v>
      </c>
      <c r="B16" s="9" t="inlineStr">
        <is>
          <t>试用的列表来自</t>
        </is>
      </c>
      <c r="C16" s="10" t="n"/>
      <c r="D16" s="9" t="n"/>
    </row>
    <row r="17" ht="23.5" customHeight="1">
      <c r="A17" s="8" t="n">
        <v>7</v>
      </c>
      <c r="B17" s="9" t="inlineStr">
        <is>
          <t>参考文献共几条</t>
        </is>
      </c>
      <c r="C17" s="10" t="n"/>
      <c r="D17" s="9" t="n"/>
    </row>
    <row r="18" ht="23.5" customHeight="1">
      <c r="A18" s="8" t="n">
        <v>8</v>
      </c>
      <c r="B18" s="9" t="inlineStr">
        <is>
          <t>其中中文几条</t>
        </is>
      </c>
      <c r="C18" s="10" t="n"/>
      <c r="D18" s="9" t="n"/>
    </row>
    <row r="19" ht="23.5" customHeight="1">
      <c r="A19" s="8" t="n">
        <v>9</v>
      </c>
      <c r="B19" s="9" t="inlineStr">
        <is>
          <t>其中英文几条</t>
        </is>
      </c>
      <c r="C19" s="10" t="n"/>
      <c r="D19" s="9" t="n"/>
    </row>
    <row r="20" ht="23.5" customHeight="1">
      <c r="A20" s="8" t="n">
        <v>10</v>
      </c>
      <c r="B20" s="9" t="inlineStr">
        <is>
          <t>放进工具的方式</t>
        </is>
      </c>
      <c r="C20" s="10" t="n"/>
      <c r="D20" s="9" t="n"/>
    </row>
    <row r="21" ht="10" customHeight="1"/>
    <row r="22" ht="26" customHeight="1">
      <c r="A22" s="5" t="inlineStr">
        <is>
          <t>二、用时</t>
        </is>
      </c>
      <c r="B22" s="6" t="n"/>
      <c r="C22" s="6" t="n"/>
      <c r="D22" s="6" t="n"/>
    </row>
    <row r="23" ht="23.5" customHeight="1">
      <c r="A23" s="3" t="inlineStr">
        <is>
          <t>先用平时的方法核对其中 5 条并计时，再把整份列表交给工具体检。</t>
        </is>
      </c>
    </row>
    <row r="24" ht="22" customHeight="1">
      <c r="A24" s="7" t="inlineStr">
        <is>
          <t>序</t>
        </is>
      </c>
      <c r="B24" s="7" t="inlineStr">
        <is>
          <t>项目</t>
        </is>
      </c>
      <c r="C24" s="7" t="inlineStr">
        <is>
          <t>填写</t>
        </is>
      </c>
      <c r="D24" s="7" t="inlineStr">
        <is>
          <t>补充说明（可不填）</t>
        </is>
      </c>
    </row>
    <row r="25" ht="23.5" customHeight="1">
      <c r="A25" s="8" t="n">
        <v>1</v>
      </c>
      <c r="B25" s="9" t="inlineStr">
        <is>
          <t>人工核对 5 条用时（分钟）</t>
        </is>
      </c>
      <c r="C25" s="10" t="n"/>
      <c r="D25" s="9" t="n"/>
    </row>
    <row r="26" ht="40" customHeight="1">
      <c r="A26" s="8" t="n">
        <v>2</v>
      </c>
      <c r="B26" s="9" t="inlineStr">
        <is>
          <t>人工核对用的方法（如知网、万方、谷歌学术、问 AI，可写多个）</t>
        </is>
      </c>
      <c r="C26" s="11" t="n"/>
      <c r="D26" s="12" t="n"/>
    </row>
    <row r="27" ht="46" customHeight="1">
      <c r="A27" s="8" t="n">
        <v>3</v>
      </c>
      <c r="B27" s="9" t="inlineStr">
        <is>
          <t>人工核对发现的问题（第几条、什么问题）</t>
        </is>
      </c>
      <c r="C27" s="11" t="n"/>
      <c r="D27" s="12" t="n"/>
    </row>
    <row r="28" ht="40" customHeight="1">
      <c r="A28" s="8" t="n">
        <v>4</v>
      </c>
      <c r="B28" s="9" t="inlineStr">
        <is>
          <t>工具检查整份列表用时（分钟，从粘贴到看完结果）</t>
        </is>
      </c>
      <c r="C28" s="10" t="n"/>
      <c r="D28" s="9" t="n"/>
    </row>
    <row r="29" ht="23.5" customHeight="1">
      <c r="A29" s="8" t="n">
        <v>5</v>
      </c>
      <c r="B29" s="9" t="inlineStr">
        <is>
          <t>第一次打开网页等了多久（秒）</t>
        </is>
      </c>
      <c r="C29" s="10" t="n"/>
      <c r="D29" s="9" t="n"/>
    </row>
    <row r="30" ht="23.5" customHeight="1">
      <c r="A30" s="8" t="n">
        <v>6</v>
      </c>
      <c r="B30" s="9" t="inlineStr">
        <is>
          <t>中途有没有以为网页打不开</t>
        </is>
      </c>
      <c r="C30" s="10" t="n"/>
      <c r="D30" s="9" t="n"/>
    </row>
    <row r="31" ht="10" customHeight="1"/>
    <row r="32" ht="26" customHeight="1">
      <c r="A32" s="5" t="inlineStr">
        <is>
          <t>三、逐条判断：工具标出的问题对不对</t>
        </is>
      </c>
      <c r="B32" s="6" t="n"/>
      <c r="C32" s="6" t="n"/>
      <c r="D32" s="6" t="n"/>
    </row>
    <row r="33" ht="40" customHeight="1">
      <c r="A33" s="3" t="inlineStr">
        <is>
          <t>工具标为有误、相近候选、查无此文、已撤稿、关注声明的条目，每条填一行，序号填工具里的编号。待人工和已核实的不用逐条填，在表下填个数。</t>
        </is>
      </c>
    </row>
    <row r="34" ht="22" customHeight="1">
      <c r="A34" s="7" t="inlineStr">
        <is>
          <t>序号</t>
        </is>
      </c>
      <c r="B34" s="7" t="inlineStr">
        <is>
          <t>工具结论</t>
        </is>
      </c>
      <c r="C34" s="7" t="inlineStr">
        <is>
          <t>你的判断</t>
        </is>
      </c>
      <c r="D34" s="7" t="inlineStr">
        <is>
          <t>说明（哪里写错了，或为什么是误报）</t>
        </is>
      </c>
    </row>
    <row r="35" ht="21" customHeight="1">
      <c r="A35" s="10" t="n"/>
      <c r="B35" s="10" t="n"/>
      <c r="C35" s="10" t="n"/>
      <c r="D35" s="9" t="n"/>
    </row>
    <row r="36" ht="21" customHeight="1">
      <c r="A36" s="10" t="n"/>
      <c r="B36" s="10" t="n"/>
      <c r="C36" s="10" t="n"/>
      <c r="D36" s="9" t="n"/>
    </row>
    <row r="37" ht="21" customHeight="1">
      <c r="A37" s="10" t="n"/>
      <c r="B37" s="10" t="n"/>
      <c r="C37" s="10" t="n"/>
      <c r="D37" s="9" t="n"/>
    </row>
    <row r="38" ht="21" customHeight="1">
      <c r="A38" s="10" t="n"/>
      <c r="B38" s="10" t="n"/>
      <c r="C38" s="10" t="n"/>
      <c r="D38" s="9" t="n"/>
    </row>
    <row r="39" ht="21" customHeight="1">
      <c r="A39" s="10" t="n"/>
      <c r="B39" s="10" t="n"/>
      <c r="C39" s="10" t="n"/>
      <c r="D39" s="9" t="n"/>
    </row>
    <row r="40" ht="21" customHeight="1">
      <c r="A40" s="10" t="n"/>
      <c r="B40" s="10" t="n"/>
      <c r="C40" s="10" t="n"/>
      <c r="D40" s="9" t="n"/>
    </row>
    <row r="41" ht="21" customHeight="1">
      <c r="A41" s="10" t="n"/>
      <c r="B41" s="10" t="n"/>
      <c r="C41" s="10" t="n"/>
      <c r="D41" s="9" t="n"/>
    </row>
    <row r="42" ht="21" customHeight="1">
      <c r="A42" s="10" t="n"/>
      <c r="B42" s="10" t="n"/>
      <c r="C42" s="10" t="n"/>
      <c r="D42" s="9" t="n"/>
    </row>
    <row r="43" ht="21" customHeight="1">
      <c r="A43" s="10" t="n"/>
      <c r="B43" s="10" t="n"/>
      <c r="C43" s="10" t="n"/>
      <c r="D43" s="9" t="n"/>
    </row>
    <row r="44" ht="21" customHeight="1">
      <c r="A44" s="10" t="n"/>
      <c r="B44" s="10" t="n"/>
      <c r="C44" s="10" t="n"/>
      <c r="D44" s="9" t="n"/>
    </row>
    <row r="45" ht="21" customHeight="1">
      <c r="A45" s="10" t="n"/>
      <c r="B45" s="10" t="n"/>
      <c r="C45" s="10" t="n"/>
      <c r="D45" s="9" t="n"/>
    </row>
    <row r="46" ht="21" customHeight="1">
      <c r="A46" s="10" t="n"/>
      <c r="B46" s="10" t="n"/>
      <c r="C46" s="10" t="n"/>
      <c r="D46" s="9" t="n"/>
    </row>
    <row r="47" ht="21" customHeight="1">
      <c r="A47" s="10" t="n"/>
      <c r="B47" s="10" t="n"/>
      <c r="C47" s="10" t="n"/>
      <c r="D47" s="9" t="n"/>
    </row>
    <row r="48" ht="21" customHeight="1">
      <c r="A48" s="10" t="n"/>
      <c r="B48" s="10" t="n"/>
      <c r="C48" s="10" t="n"/>
      <c r="D48" s="9" t="n"/>
    </row>
    <row r="49" ht="21" customHeight="1">
      <c r="A49" s="10" t="n"/>
      <c r="B49" s="10" t="n"/>
      <c r="C49" s="10" t="n"/>
      <c r="D49" s="9" t="n"/>
    </row>
    <row r="50" ht="21" customHeight="1">
      <c r="A50" s="9" t="n"/>
      <c r="B50" s="13" t="inlineStr">
        <is>
          <t>工具标出的条数</t>
        </is>
      </c>
      <c r="C50" s="14">
        <f>COUNTA(B35:B49)</f>
        <v/>
      </c>
      <c r="D50" s="15" t="inlineStr">
        <is>
          <t>自动计算</t>
        </is>
      </c>
    </row>
    <row r="51" ht="21" customHeight="1">
      <c r="A51" s="9" t="n"/>
      <c r="B51" s="13" t="inlineStr">
        <is>
          <t>其中确实有问题</t>
        </is>
      </c>
      <c r="C51" s="14">
        <f>COUNTIF(C35:C49,"确实有问题")</f>
        <v/>
      </c>
      <c r="D51" s="15" t="inlineStr">
        <is>
          <t>自动计算</t>
        </is>
      </c>
    </row>
    <row r="52" ht="21" customHeight="1">
      <c r="A52" s="9" t="n"/>
      <c r="B52" s="13" t="inlineStr">
        <is>
          <t>其中误报</t>
        </is>
      </c>
      <c r="C52" s="14">
        <f>COUNTIF(C35:C49,"误报")</f>
        <v/>
      </c>
      <c r="D52" s="15" t="inlineStr">
        <is>
          <t>自动计算</t>
        </is>
      </c>
    </row>
    <row r="53" ht="21" customHeight="1">
      <c r="A53" s="9" t="n"/>
      <c r="B53" s="13" t="inlineStr">
        <is>
          <t>其中拿不准</t>
        </is>
      </c>
      <c r="C53" s="14">
        <f>COUNTIF(C35:C49,"拿不准")</f>
        <v/>
      </c>
      <c r="D53" s="15" t="inlineStr">
        <is>
          <t>自动计算</t>
        </is>
      </c>
    </row>
    <row r="54" ht="21" customHeight="1">
      <c r="A54" s="9" t="n"/>
      <c r="B54" s="13" t="inlineStr">
        <is>
          <t>待人工的条数</t>
        </is>
      </c>
      <c r="C54" s="10" t="n"/>
      <c r="D54" s="9" t="n"/>
    </row>
    <row r="55" ht="21" customHeight="1">
      <c r="A55" s="9" t="n"/>
      <c r="B55" s="13" t="inlineStr">
        <is>
          <t>已核实的条数</t>
        </is>
      </c>
      <c r="C55" s="10" t="n"/>
      <c r="D55" s="9" t="n"/>
    </row>
    <row r="56" ht="10" customHeight="1"/>
    <row r="57" ht="26" customHeight="1">
      <c r="A57" s="5" t="inlineStr">
        <is>
          <t>四、漏报：有问题但工具没标出来</t>
        </is>
      </c>
      <c r="B57" s="6" t="n"/>
      <c r="C57" s="6" t="n"/>
      <c r="D57" s="6" t="n"/>
    </row>
    <row r="58" ht="23.5" customHeight="1">
      <c r="A58" s="3" t="inlineStr">
        <is>
          <t>你知道有问题、工具却没标出来的条目，尤其是判“已核实”但其实有错的；没有就空着。</t>
        </is>
      </c>
    </row>
    <row r="59" ht="22" customHeight="1">
      <c r="A59" s="7" t="inlineStr">
        <is>
          <t>序号</t>
        </is>
      </c>
      <c r="B59" s="7" t="inlineStr">
        <is>
          <t>工具结论</t>
        </is>
      </c>
      <c r="C59" s="7" t="inlineStr">
        <is>
          <t>实际问题</t>
        </is>
      </c>
      <c r="D59" s="16" t="n"/>
    </row>
    <row r="60" ht="24" customHeight="1">
      <c r="A60" s="10" t="n"/>
      <c r="B60" s="10" t="n"/>
      <c r="C60" s="11" t="n"/>
      <c r="D60" s="12" t="n"/>
    </row>
    <row r="61" ht="24" customHeight="1">
      <c r="A61" s="10" t="n"/>
      <c r="B61" s="10" t="n"/>
      <c r="C61" s="11" t="n"/>
      <c r="D61" s="12" t="n"/>
    </row>
    <row r="62" ht="24" customHeight="1">
      <c r="A62" s="10" t="n"/>
      <c r="B62" s="10" t="n"/>
      <c r="C62" s="11" t="n"/>
      <c r="D62" s="12" t="n"/>
    </row>
    <row r="63" ht="24" customHeight="1">
      <c r="A63" s="10" t="n"/>
      <c r="B63" s="10" t="n"/>
      <c r="C63" s="11" t="n"/>
      <c r="D63" s="12" t="n"/>
    </row>
    <row r="64" ht="10" customHeight="1"/>
    <row r="65" ht="26" customHeight="1">
      <c r="A65" s="5" t="inlineStr">
        <is>
          <t>五、使用过程：哪一步卡住了</t>
        </is>
      </c>
      <c r="B65" s="6" t="n"/>
      <c r="C65" s="6" t="n"/>
      <c r="D65" s="6" t="n"/>
    </row>
    <row r="66" ht="23.5" customHeight="1">
      <c r="A66" s="3" t="inlineStr">
        <is>
          <t>每项选一个完成情况；问了人或没完成的，在右边写卡在哪、问了什么。</t>
        </is>
      </c>
    </row>
    <row r="67" ht="22" customHeight="1">
      <c r="A67" s="7" t="inlineStr">
        <is>
          <t>序</t>
        </is>
      </c>
      <c r="B67" s="7" t="inlineStr">
        <is>
          <t>任务</t>
        </is>
      </c>
      <c r="C67" s="7" t="inlineStr">
        <is>
          <t>完成情况</t>
        </is>
      </c>
      <c r="D67" s="7" t="inlineStr">
        <is>
          <t>卡在哪 / 问了什么</t>
        </is>
      </c>
    </row>
    <row r="68" ht="23.5" customHeight="1">
      <c r="A68" s="8" t="n">
        <v>1</v>
      </c>
      <c r="B68" s="9" t="inlineStr">
        <is>
          <t>看懂这个工具是做什么的</t>
        </is>
      </c>
      <c r="C68" s="10" t="n"/>
      <c r="D68" s="9" t="n"/>
    </row>
    <row r="69" ht="23.5" customHeight="1">
      <c r="A69" s="8" t="n">
        <v>2</v>
      </c>
      <c r="B69" s="9" t="inlineStr">
        <is>
          <t>把参考文献放进去并开始体检</t>
        </is>
      </c>
      <c r="C69" s="10" t="n"/>
      <c r="D69" s="9" t="n"/>
    </row>
    <row r="70" ht="23.5" customHeight="1">
      <c r="A70" s="8" t="n">
        <v>3</v>
      </c>
      <c r="B70" s="9" t="inlineStr">
        <is>
          <t>看懂每条的结论（印章和下面那句话）</t>
        </is>
      </c>
      <c r="C70" s="10" t="n"/>
      <c r="D70" s="9" t="n"/>
    </row>
    <row r="71" ht="23.5" customHeight="1">
      <c r="A71" s="8" t="n">
        <v>4</v>
      </c>
      <c r="B71" s="9" t="inlineStr">
        <is>
          <t>点“需要处理”，只看有问题的条目</t>
        </is>
      </c>
      <c r="C71" s="10" t="n"/>
      <c r="D71" s="9" t="n"/>
    </row>
    <row r="72" ht="23.5" customHeight="1">
      <c r="A72" s="8" t="n">
        <v>5</v>
      </c>
      <c r="B72" s="9" t="inlineStr">
        <is>
          <t>点“详情”，看哪里不一致和规范写法</t>
        </is>
      </c>
      <c r="C72" s="10" t="n"/>
      <c r="D72" s="9" t="n"/>
    </row>
    <row r="73" ht="23.5" customHeight="1">
      <c r="A73" s="8" t="n">
        <v>6</v>
      </c>
      <c r="B73" s="9" t="inlineStr">
        <is>
          <t>对一条“待人工”点“AI 继续查”</t>
        </is>
      </c>
      <c r="C73" s="10" t="n"/>
      <c r="D73" s="9" t="n"/>
    </row>
    <row r="74" ht="23.5" customHeight="1">
      <c r="A74" s="8" t="n">
        <v>7</v>
      </c>
      <c r="B74" s="9" t="inlineStr">
        <is>
          <t>复制修正版清单或规范参考文献，或下载核查报告</t>
        </is>
      </c>
      <c r="C74" s="10" t="n"/>
      <c r="D74" s="9" t="n"/>
    </row>
    <row r="75" ht="23.5" customHeight="1">
      <c r="A75" s="8" t="n">
        <v>8</v>
      </c>
      <c r="B75" s="9" t="inlineStr">
        <is>
          <t>（选做）在“正文论断核查”里查一句论文里的话</t>
        </is>
      </c>
      <c r="C75" s="10" t="n"/>
      <c r="D75" s="9" t="n"/>
    </row>
    <row r="76" ht="40" customHeight="1">
      <c r="A76" s="8" t="n">
        <v>9</v>
      </c>
      <c r="B76" s="9" t="inlineStr">
        <is>
          <t>新手引导（第一次打开时右下角的“带我看看”）；右边写有没有帮助</t>
        </is>
      </c>
      <c r="C76" s="10" t="n"/>
      <c r="D76" s="9" t="n"/>
    </row>
    <row r="77" ht="10" customHeight="1"/>
    <row r="78" ht="26" customHeight="1">
      <c r="A78" s="5" t="inlineStr">
        <is>
          <t>六、理解检查</t>
        </is>
      </c>
      <c r="B78" s="6" t="n"/>
      <c r="C78" s="6" t="n"/>
      <c r="D78" s="6" t="n"/>
    </row>
    <row r="79" ht="23.5" customHeight="1">
      <c r="A79" s="3" t="inlineStr">
        <is>
          <t>不用回页面看，按你的理解每题选一个字母。</t>
        </is>
      </c>
    </row>
    <row r="80" ht="22" customHeight="1">
      <c r="A80" s="7" t="inlineStr">
        <is>
          <t>题</t>
        </is>
      </c>
      <c r="B80" s="7" t="inlineStr">
        <is>
          <t>题目与选项</t>
        </is>
      </c>
      <c r="C80" s="7" t="inlineStr">
        <is>
          <t>你的选择</t>
        </is>
      </c>
      <c r="D80" s="7" t="inlineStr">
        <is>
          <t>补充（可不填）</t>
        </is>
      </c>
    </row>
    <row r="81" ht="106" customHeight="1">
      <c r="A81" s="8" t="n">
        <v>1</v>
      </c>
      <c r="B81" s="9" t="inlineStr">
        <is>
          <t>某条盖了“查无此文”，说明：
A. 这条文献一定是编造的
B. 数据库里没找到同一篇，疑似不存在，要人工确认
C. 网络出错，没查完
D. 说不清</t>
        </is>
      </c>
      <c r="C81" s="10" t="n"/>
      <c r="D81" s="9" t="n"/>
    </row>
    <row r="82" ht="106" customHeight="1">
      <c r="A82" s="8" t="n">
        <v>2</v>
      </c>
      <c r="B82" s="9" t="inlineStr">
        <is>
          <t>某条盖了“待人工”，说明：
A. 这条文献有问题
B. 工具已经查到，只是要老师确认
C. 开放数据库覆盖不到（如图书、学位论文），工具判断不了，要人工核对
D. 说不清</t>
        </is>
      </c>
      <c r="C82" s="10" t="n"/>
      <c r="D82" s="9" t="n"/>
    </row>
    <row r="83" ht="89.5" customHeight="1">
      <c r="A83" s="8" t="n">
        <v>3</v>
      </c>
      <c r="B83" s="9" t="inlineStr">
        <is>
          <t>某条盖了“已核实”，说明：
A. 文献内容支持论文里引用它的那句话
B. 引文格式完全符合学校要求
C. 找到同一篇，题名、作者、年份、期刊等一致
D. 说不清</t>
        </is>
      </c>
      <c r="C83" s="10" t="n"/>
      <c r="D83" s="9" t="n"/>
    </row>
    <row r="84" ht="106" customHeight="1">
      <c r="A84" s="8" t="n">
        <v>4</v>
      </c>
      <c r="B84" s="9" t="inlineStr">
        <is>
          <t>某条盖了“相近候选”，说明：
A. 只找到相似文献，不能确定是不是同一篇，要人工看
B. 信息有误，照工具给的写法改就行
C. 这篇文献已撤稿
D. 说不清</t>
        </is>
      </c>
      <c r="C84" s="10" t="n"/>
      <c r="D84" s="9" t="n"/>
    </row>
    <row r="85" ht="10" customHeight="1"/>
    <row r="86" ht="26" customHeight="1">
      <c r="A86" s="5" t="inlineStr">
        <is>
          <t>七、评价</t>
        </is>
      </c>
      <c r="B86" s="6" t="n"/>
      <c r="C86" s="6" t="n"/>
      <c r="D86" s="6" t="n"/>
    </row>
    <row r="87" ht="23.5" customHeight="1">
      <c r="A87" s="3" t="inlineStr">
        <is>
          <t>1 = 完全不同意，5 = 完全同意，下拉选一个数字。</t>
        </is>
      </c>
    </row>
    <row r="88" ht="22" customHeight="1">
      <c r="A88" s="7" t="inlineStr">
        <is>
          <t>序</t>
        </is>
      </c>
      <c r="B88" s="7" t="inlineStr">
        <is>
          <t>说法</t>
        </is>
      </c>
      <c r="C88" s="7" t="inlineStr">
        <is>
          <t>打分（1–5）</t>
        </is>
      </c>
      <c r="D88" s="7" t="inlineStr">
        <is>
          <t>补充（可不填）</t>
        </is>
      </c>
    </row>
    <row r="89" ht="23.5" customHeight="1">
      <c r="A89" s="8" t="n">
        <v>1</v>
      </c>
      <c r="B89" s="9" t="inlineStr">
        <is>
          <t>不用别人教，我也能很快上手</t>
        </is>
      </c>
      <c r="C89" s="10" t="n"/>
      <c r="D89" s="9" t="n"/>
    </row>
    <row r="90" ht="23.5" customHeight="1">
      <c r="A90" s="8" t="n">
        <v>2</v>
      </c>
      <c r="B90" s="9" t="inlineStr">
        <is>
          <t>每条的结论和理由我看得懂</t>
        </is>
      </c>
      <c r="C90" s="10" t="n"/>
      <c r="D90" s="9" t="n"/>
    </row>
    <row r="91" ht="23.5" customHeight="1">
      <c r="A91" s="8" t="n">
        <v>3</v>
      </c>
      <c r="B91" s="9" t="inlineStr">
        <is>
          <t>我信任它标出的问题，愿意拿去提醒学生</t>
        </is>
      </c>
      <c r="C91" s="10" t="n"/>
      <c r="D91" s="9" t="n"/>
    </row>
    <row r="92" ht="23.5" customHeight="1">
      <c r="A92" s="8" t="n">
        <v>4</v>
      </c>
      <c r="B92" s="9" t="inlineStr">
        <is>
          <t>它能明显节省我核对参考文献的时间</t>
        </is>
      </c>
      <c r="C92" s="10" t="n"/>
      <c r="D92" s="9" t="n"/>
    </row>
    <row r="93" ht="23.5" customHeight="1">
      <c r="A93" s="8" t="n">
        <v>5</v>
      </c>
      <c r="B93" s="9" t="inlineStr">
        <is>
          <t>我会推荐学生在交论文前先用它自查</t>
        </is>
      </c>
      <c r="C93" s="10" t="n"/>
      <c r="D93" s="9" t="n"/>
    </row>
    <row r="94" ht="10" customHeight="1"/>
    <row r="95" ht="26" customHeight="1">
      <c r="A95" s="5" t="inlineStr">
        <is>
          <t>八、可用性量表（SUS）</t>
        </is>
      </c>
      <c r="B95" s="6" t="n"/>
      <c r="C95" s="6" t="n"/>
      <c r="D95" s="6" t="n"/>
    </row>
    <row r="96" ht="23.5" customHeight="1">
      <c r="A96" s="3" t="inlineStr">
        <is>
          <t>试用结束后马上填，凭第一感觉，填完不要回头改。1 = 非常不同意，5 = 非常同意。</t>
        </is>
      </c>
    </row>
    <row r="97" ht="22" customHeight="1">
      <c r="A97" s="7" t="inlineStr">
        <is>
          <t>序</t>
        </is>
      </c>
      <c r="B97" s="7" t="inlineStr">
        <is>
          <t>说法</t>
        </is>
      </c>
      <c r="C97" s="7" t="inlineStr">
        <is>
          <t>打分（1–5）</t>
        </is>
      </c>
      <c r="D97" s="7" t="inlineStr">
        <is>
          <t>补充（可不填）</t>
        </is>
      </c>
    </row>
    <row r="98" ht="23.5" customHeight="1">
      <c r="A98" s="8" t="n">
        <v>1</v>
      </c>
      <c r="B98" s="9" t="inlineStr">
        <is>
          <t>我想我会经常使用这个工具</t>
        </is>
      </c>
      <c r="C98" s="10" t="n"/>
      <c r="D98" s="9" t="n"/>
    </row>
    <row r="99" ht="23.5" customHeight="1">
      <c r="A99" s="8" t="n">
        <v>2</v>
      </c>
      <c r="B99" s="9" t="inlineStr">
        <is>
          <t>我觉得这个工具没必要这么复杂</t>
        </is>
      </c>
      <c r="C99" s="10" t="n"/>
      <c r="D99" s="9" t="n"/>
    </row>
    <row r="100" ht="23.5" customHeight="1">
      <c r="A100" s="8" t="n">
        <v>3</v>
      </c>
      <c r="B100" s="9" t="inlineStr">
        <is>
          <t>我觉得这个工具容易使用</t>
        </is>
      </c>
      <c r="C100" s="10" t="n"/>
      <c r="D100" s="9" t="n"/>
    </row>
    <row r="101" ht="23.5" customHeight="1">
      <c r="A101" s="8" t="n">
        <v>4</v>
      </c>
      <c r="B101" s="9" t="inlineStr">
        <is>
          <t>我想我需要有人帮忙才能用好这个工具</t>
        </is>
      </c>
      <c r="C101" s="10" t="n"/>
      <c r="D101" s="9" t="n"/>
    </row>
    <row r="102" ht="23.5" customHeight="1">
      <c r="A102" s="8" t="n">
        <v>5</v>
      </c>
      <c r="B102" s="9" t="inlineStr">
        <is>
          <t>我觉得这个工具的各项功能结合得很好</t>
        </is>
      </c>
      <c r="C102" s="10" t="n"/>
      <c r="D102" s="9" t="n"/>
    </row>
    <row r="103" ht="23.5" customHeight="1">
      <c r="A103" s="8" t="n">
        <v>6</v>
      </c>
      <c r="B103" s="9" t="inlineStr">
        <is>
          <t>我觉得这个工具前后不够一致</t>
        </is>
      </c>
      <c r="C103" s="10" t="n"/>
      <c r="D103" s="9" t="n"/>
    </row>
    <row r="104" ht="23.5" customHeight="1">
      <c r="A104" s="8" t="n">
        <v>7</v>
      </c>
      <c r="B104" s="9" t="inlineStr">
        <is>
          <t>我想大多数人都能很快学会使用这个工具</t>
        </is>
      </c>
      <c r="C104" s="10" t="n"/>
      <c r="D104" s="9" t="n"/>
    </row>
    <row r="105" ht="23.5" customHeight="1">
      <c r="A105" s="8" t="n">
        <v>8</v>
      </c>
      <c r="B105" s="9" t="inlineStr">
        <is>
          <t>我觉得这个工具用起来很别扭</t>
        </is>
      </c>
      <c r="C105" s="10" t="n"/>
      <c r="D105" s="9" t="n"/>
    </row>
    <row r="106" ht="23.5" customHeight="1">
      <c r="A106" s="8" t="n">
        <v>9</v>
      </c>
      <c r="B106" s="9" t="inlineStr">
        <is>
          <t>使用这个工具时我很有把握</t>
        </is>
      </c>
      <c r="C106" s="10" t="n"/>
      <c r="D106" s="9" t="n"/>
    </row>
    <row r="107" ht="23.5" customHeight="1">
      <c r="A107" s="8" t="n">
        <v>10</v>
      </c>
      <c r="B107" s="9" t="inlineStr">
        <is>
          <t>我需要先学很多东西才能开始用这个工具</t>
        </is>
      </c>
      <c r="C107" s="10" t="n"/>
      <c r="D107" s="9" t="n"/>
    </row>
    <row r="108" ht="40" customHeight="1">
      <c r="A108" s="17" t="inlineStr">
        <is>
          <t>量表来源：System Usability Scale（Brooke，1996），https://doi.org/10.1201/9781498710411-35</t>
        </is>
      </c>
    </row>
    <row r="109" ht="10" customHeight="1"/>
    <row r="110" ht="26" customHeight="1">
      <c r="A110" s="5" t="inlineStr">
        <is>
          <t>九、开放问题</t>
        </is>
      </c>
      <c r="B110" s="6" t="n"/>
      <c r="C110" s="6" t="n"/>
      <c r="D110" s="6" t="n"/>
    </row>
    <row r="111" ht="23.5" customHeight="1">
      <c r="A111" s="3" t="inlineStr">
        <is>
          <t>想到什么写什么，一两句就行。</t>
        </is>
      </c>
    </row>
    <row r="112" ht="22" customHeight="1">
      <c r="A112" s="7" t="inlineStr">
        <is>
          <t>序</t>
        </is>
      </c>
      <c r="B112" s="7" t="inlineStr">
        <is>
          <t>问题</t>
        </is>
      </c>
      <c r="C112" s="7" t="inlineStr">
        <is>
          <t>回答</t>
        </is>
      </c>
      <c r="D112" s="16" t="n"/>
    </row>
    <row r="113" ht="46" customHeight="1">
      <c r="A113" s="8" t="n">
        <v>1</v>
      </c>
      <c r="B113" s="9" t="inlineStr">
        <is>
          <t>如果指导学生写论文，你会不会让学生先用它自查？为什么？</t>
        </is>
      </c>
      <c r="C113" s="11" t="n"/>
      <c r="D113" s="12" t="n"/>
    </row>
    <row r="114" ht="46" customHeight="1">
      <c r="A114" s="8" t="n">
        <v>2</v>
      </c>
      <c r="B114" s="9" t="inlineStr">
        <is>
          <t>要让你愿意经常用，它还缺什么？</t>
        </is>
      </c>
      <c r="C114" s="11" t="n"/>
      <c r="D114" s="12" t="n"/>
    </row>
    <row r="115" ht="46" customHeight="1">
      <c r="A115" s="8" t="n">
        <v>3</v>
      </c>
      <c r="B115" s="9" t="inlineStr">
        <is>
          <t>最有用的功能</t>
        </is>
      </c>
      <c r="C115" s="11" t="n"/>
      <c r="D115" s="12" t="n"/>
    </row>
    <row r="116" ht="46" customHeight="1">
      <c r="A116" s="8" t="n">
        <v>4</v>
      </c>
      <c r="B116" s="9" t="inlineStr">
        <is>
          <t>最困惑或最不满意的地方</t>
        </is>
      </c>
      <c r="C116" s="11" t="n"/>
      <c r="D116" s="12" t="n"/>
    </row>
    <row r="117" ht="46" customHeight="1">
      <c r="A117" s="8" t="n">
        <v>5</v>
      </c>
      <c r="B117" s="9" t="inlineStr">
        <is>
          <t>界面看着顺眼吗？哪里别扭？</t>
        </is>
      </c>
      <c r="C117" s="11" t="n"/>
      <c r="D117" s="12" t="n"/>
    </row>
    <row r="118" ht="46" customHeight="1">
      <c r="A118" s="8" t="n">
        <v>6</v>
      </c>
      <c r="B118" s="9" t="inlineStr">
        <is>
          <t>其他意见</t>
        </is>
      </c>
      <c r="C118" s="11" t="n"/>
      <c r="D118" s="12" t="n"/>
    </row>
    <row r="119" ht="10" customHeight="1"/>
    <row r="120" ht="26" customHeight="1">
      <c r="A120" s="5" t="inlineStr">
        <is>
          <t>十、使用同意</t>
        </is>
      </c>
      <c r="B120" s="6" t="n"/>
      <c r="C120" s="6" t="n"/>
      <c r="D120" s="6" t="n"/>
    </row>
    <row r="121" ht="23.5" customHeight="1">
      <c r="A121" s="3" t="inlineStr">
        <is>
          <t>每项选“同意”或“不同意”；两项都不同意时，本表只用于改进工具，不写进比赛材料。</t>
        </is>
      </c>
    </row>
    <row r="122" ht="22" customHeight="1">
      <c r="A122" s="7" t="inlineStr">
        <is>
          <t>序</t>
        </is>
      </c>
      <c r="B122" s="7" t="inlineStr">
        <is>
          <t>用途</t>
        </is>
      </c>
      <c r="C122" s="7" t="inlineStr">
        <is>
          <t>选择</t>
        </is>
      </c>
      <c r="D122" s="7" t="inlineStr">
        <is>
          <t>补充（可不填）</t>
        </is>
      </c>
    </row>
    <row r="123" ht="40" customHeight="1">
      <c r="A123" s="8" t="n">
        <v>1</v>
      </c>
      <c r="B123" s="9" t="inlineStr">
        <is>
          <t>在比赛材料中匿名引用我的意见（只写编号和学科）</t>
        </is>
      </c>
      <c r="C123" s="10" t="n"/>
      <c r="D123" s="9" t="n"/>
    </row>
    <row r="124" ht="40" customHeight="1">
      <c r="A124" s="8" t="n">
        <v>2</v>
      </c>
      <c r="B124" s="9" t="inlineStr">
        <is>
          <t>组织者用我交回的核查报告分析误报（报告只用于改进工具，不公开）</t>
        </is>
      </c>
      <c r="C124" s="10" t="n"/>
      <c r="D124" s="9" t="n"/>
    </row>
    <row r="125" ht="23.5" customHeight="1">
      <c r="A125" s="8" t="n">
        <v>3</v>
      </c>
      <c r="B125" s="9" t="inlineStr">
        <is>
          <t>愿意接受回访的联系方式（可不填）</t>
        </is>
      </c>
      <c r="C125" s="18" t="n"/>
      <c r="D125" s="19" t="n"/>
    </row>
    <row r="126" ht="23.5" customHeight="1">
      <c r="A126" s="8" t="n">
        <v>4</v>
      </c>
      <c r="B126" s="9" t="inlineStr">
        <is>
          <t>日期</t>
        </is>
      </c>
      <c r="C126" s="20" t="n"/>
      <c r="D126" s="9" t="n"/>
    </row>
    <row r="127" ht="10" customHeight="1"/>
    <row r="128" ht="26" customHeight="1">
      <c r="A128" s="21" t="inlineStr">
        <is>
          <t>十一、组织者记录（老师不用填）</t>
        </is>
      </c>
      <c r="B128" s="22" t="n"/>
      <c r="C128" s="22" t="n"/>
      <c r="D128" s="22" t="n"/>
    </row>
    <row r="129" ht="22" customHeight="1">
      <c r="A129" s="23" t="inlineStr">
        <is>
          <t>序</t>
        </is>
      </c>
      <c r="B129" s="23" t="inlineStr">
        <is>
          <t>项目</t>
        </is>
      </c>
      <c r="C129" s="23" t="inlineStr">
        <is>
          <t>记录</t>
        </is>
      </c>
      <c r="D129" s="24" t="n"/>
    </row>
    <row r="130" ht="23.5" customHeight="1">
      <c r="A130" s="8" t="n">
        <v>1</v>
      </c>
      <c r="B130" s="9" t="inlineStr">
        <is>
          <t>试用日期</t>
        </is>
      </c>
      <c r="C130" s="25" t="n"/>
      <c r="D130" s="24" t="n"/>
    </row>
    <row r="131" ht="23.5" customHeight="1">
      <c r="A131" s="8" t="n">
        <v>2</v>
      </c>
      <c r="B131" s="9" t="inlineStr">
        <is>
          <t>入口（魔搭 / 本机 / 其他）</t>
        </is>
      </c>
      <c r="C131" s="25" t="n"/>
      <c r="D131" s="24" t="n"/>
    </row>
    <row r="132" ht="23.5" customHeight="1">
      <c r="A132" s="8" t="n">
        <v>3</v>
      </c>
      <c r="B132" s="9" t="inlineStr">
        <is>
          <t>组织者协助几次、在哪一步</t>
        </is>
      </c>
      <c r="C132" s="25" t="n"/>
      <c r="D132" s="24" t="n"/>
    </row>
    <row r="133" ht="23.5" customHeight="1">
      <c r="A133" s="8" t="n">
        <v>4</v>
      </c>
      <c r="B133" s="9" t="inlineStr">
        <is>
          <t>出现的限流或出错提示（照抄原文）</t>
        </is>
      </c>
      <c r="C133" s="25" t="n"/>
      <c r="D133" s="24" t="n"/>
    </row>
    <row r="134" ht="40" customHeight="1">
      <c r="A134" s="8" t="n">
        <v>5</v>
      </c>
      <c r="B134" s="9" t="inlineStr">
        <is>
          <t>理解检查答对几题（满分 4，答案见试用指南第四节）</t>
        </is>
      </c>
      <c r="C134" s="25" t="n"/>
      <c r="D134" s="24" t="n"/>
    </row>
    <row r="135" ht="40" customHeight="1">
      <c r="A135" s="8" t="n">
        <v>6</v>
      </c>
      <c r="B135" s="9" t="inlineStr">
        <is>
          <t>SUS 得分（0–100，自动计算：单数题减 1，双数题用 5 减，十题相加乘 2.5）</t>
        </is>
      </c>
      <c r="C135" s="26">
        <f>IF(COUNTA(C98:C107)&lt;10,"未填完",((C98-1)+(5-C99)+(C100-1)+(5-C101)+(C102-1)+(5-C103)+(C104-1)+(5-C105)+(C106-1)+(5-C107))*2.5)</f>
        <v/>
      </c>
      <c r="D135" s="27" t="n"/>
    </row>
    <row r="136" ht="23.5" customHeight="1">
      <c r="A136" s="8" t="n">
        <v>7</v>
      </c>
      <c r="B136" s="9" t="inlineStr">
        <is>
          <t>交回的报告文件名</t>
        </is>
      </c>
      <c r="C136" s="25" t="n"/>
      <c r="D136" s="24" t="n"/>
    </row>
  </sheetData>
  <mergeCells count="51">
    <mergeCell ref="A5:D5"/>
    <mergeCell ref="A23:D23"/>
    <mergeCell ref="C62:D62"/>
    <mergeCell ref="A22:D22"/>
    <mergeCell ref="A4:D4"/>
    <mergeCell ref="A96:D96"/>
    <mergeCell ref="C116:D116"/>
    <mergeCell ref="A121:D121"/>
    <mergeCell ref="C26:D26"/>
    <mergeCell ref="A111:D111"/>
    <mergeCell ref="C113:D113"/>
    <mergeCell ref="A9:D9"/>
    <mergeCell ref="A58:D58"/>
    <mergeCell ref="C112:D112"/>
    <mergeCell ref="C63:D63"/>
    <mergeCell ref="C134:D134"/>
    <mergeCell ref="C117:D117"/>
    <mergeCell ref="C133:D133"/>
    <mergeCell ref="C118:D118"/>
    <mergeCell ref="C114:D114"/>
    <mergeCell ref="C129:D129"/>
    <mergeCell ref="C59:D59"/>
    <mergeCell ref="A1:D1"/>
    <mergeCell ref="A110:D110"/>
    <mergeCell ref="A79:D79"/>
    <mergeCell ref="A6:D6"/>
    <mergeCell ref="C60:D60"/>
    <mergeCell ref="C115:D115"/>
    <mergeCell ref="C130:D130"/>
    <mergeCell ref="C27:D27"/>
    <mergeCell ref="A78:D78"/>
    <mergeCell ref="A87:D87"/>
    <mergeCell ref="A7:D7"/>
    <mergeCell ref="C61:D61"/>
    <mergeCell ref="A65:D65"/>
    <mergeCell ref="A128:D128"/>
    <mergeCell ref="C132:D132"/>
    <mergeCell ref="C135:D135"/>
    <mergeCell ref="A108:D108"/>
    <mergeCell ref="A66:D66"/>
    <mergeCell ref="A120:D120"/>
    <mergeCell ref="C125:D125"/>
    <mergeCell ref="A3:D3"/>
    <mergeCell ref="A86:D86"/>
    <mergeCell ref="A57:D57"/>
    <mergeCell ref="A95:D95"/>
    <mergeCell ref="A2:D2"/>
    <mergeCell ref="A33:D33"/>
    <mergeCell ref="C131:D131"/>
    <mergeCell ref="C136:D136"/>
    <mergeCell ref="A32:D32"/>
  </mergeCells>
  <dataValidations count="19">
    <dataValidation sqref="C13" showDropDown="0" showInputMessage="0" showErrorMessage="1" allowBlank="1" errorTitle="请从下拉列表选择" error="点格子右边的小三角，从列表里选一项。" type="list" errorStyle="warning">
      <formula1>"教师,研究生,本科生,其他"</formula1>
    </dataValidation>
    <dataValidation sqref="C14" showDropDown="0" showInputMessage="0" showErrorMessage="1" allowBlank="1" errorTitle="请从下拉列表选择" error="点格子右边的小三角，从列表里选一项。" type="list" errorStyle="warning">
      <formula1>"经常,偶尔,几乎不"</formula1>
    </dataValidation>
    <dataValidation sqref="C15" showDropDown="0" showInputMessage="0" showErrorMessage="1" allowBlank="1" errorTitle="请从下拉列表选择" error="点格子右边的小三角，从列表里选一项。" type="list" errorStyle="warning">
      <formula1>"电脑,手机,平板"</formula1>
    </dataValidation>
    <dataValidation sqref="C16" showDropDown="0" showInputMessage="0" showErrorMessage="1" allowBlank="1" errorTitle="请从下拉列表选择" error="点格子右边的小三角，从列表里选一项。" type="list" errorStyle="warning">
      <formula1>"学生论文,自己的论文,其他"</formula1>
    </dataValidation>
    <dataValidation sqref="C17 C18 C19 C54 C55" showDropDown="0" showInputMessage="0" showErrorMessage="1" allowBlank="1" errorTitle="请填数字" error="这一格填数字即可。" type="whole" errorStyle="warning" operator="between">
      <formula1>0</formula1>
      <formula2>999</formula2>
    </dataValidation>
    <dataValidation sqref="C20" showDropDown="0" showInputMessage="0" showErrorMessage="1" allowBlank="1" errorTitle="请从下拉列表选择" error="点格子右边的小三角，从列表里选一项。" type="list" errorStyle="warning">
      <formula1>"粘贴文字,导入文件,截图识别,多种方式"</formula1>
    </dataValidation>
    <dataValidation sqref="C25 C28" showDropDown="0" showInputMessage="0" showErrorMessage="1" allowBlank="1" errorTitle="请填数字" error="这一格填数字即可。" type="decimal" errorStyle="warning" operator="greaterThanOrEqual">
      <formula1>0</formula1>
    </dataValidation>
    <dataValidation sqref="C29" showDropDown="0" showInputMessage="0" showErrorMessage="1" allowBlank="1" errorTitle="请填数字" error="这一格填数字即可。" type="whole" errorStyle="warning" operator="between">
      <formula1>0</formula1>
      <formula2>3600</formula2>
    </dataValidation>
    <dataValidation sqref="C30" showDropDown="0" showInputMessage="0" showErrorMessage="1" allowBlank="1" errorTitle="请从下拉列表选择" error="点格子右边的小三角，从列表里选一项。" type="list" errorStyle="warning">
      <formula1>"有,没有"</formula1>
    </dataValidation>
    <dataValidation sqref="B35 B36 B37 B38 B39 B40 B41 B42 B43 B44 B45 B46 B47 B48 B49" showDropDown="0" showInputMessage="0" showErrorMessage="1" allowBlank="1" errorTitle="请从下拉列表选择" error="点格子右边的小三角，从列表里选一项。" type="list" errorStyle="warning">
      <formula1>"有误,相近候选,查无此文,已撤稿,关注声明"</formula1>
    </dataValidation>
    <dataValidation sqref="C35 C36 C37 C38 C39 C40 C41 C42 C43 C44 C45 C46 C47 C48 C49" showDropDown="0" showInputMessage="1" showErrorMessage="1" allowBlank="1" errorTitle="请从下拉列表选择" error="点格子右边的小三角，从列表里选一项。" promptTitle="你的判断" prompt="确实有问题：这条引用确实写错或不存在；误报：其实没问题；拿不准：自己也判断不了。" type="list" errorStyle="warning">
      <formula1>"确实有问题,误报,拿不准"</formula1>
    </dataValidation>
    <dataValidation sqref="A35 A36 A37 A38 A39 A40 A41 A42 A43 A44 A45 A46 A47 A48 A49 A60 A61 A62 A63" showDropDown="0" showInputMessage="0" showErrorMessage="1" allowBlank="1" errorTitle="请填数字" error="这一格填数字即可。" type="whole" errorStyle="warning" operator="between">
      <formula1>0</formula1>
      <formula2>999</formula2>
    </dataValidation>
    <dataValidation sqref="B60 B61 B62 B63" showDropDown="0" showInputMessage="0" showErrorMessage="1" allowBlank="1" errorTitle="请从下拉列表选择" error="点格子右边的小三角，从列表里选一项。" type="list" errorStyle="warning">
      <formula1>"已核实,待人工,相近候选,有误,其他"</formula1>
    </dataValidation>
    <dataValidation sqref="C68 C69 C70 C71 C72 C73 C74 C75" showDropDown="0" showInputMessage="0" showErrorMessage="1" allowBlank="1" errorTitle="请从下拉列表选择" error="点格子右边的小三角，从列表里选一项。" type="list" errorStyle="warning">
      <formula1>"自己完成,问了人,没完成,没做"</formula1>
    </dataValidation>
    <dataValidation sqref="C76" showDropDown="0" showInputMessage="0" showErrorMessage="1" allowBlank="1" errorTitle="请从下拉列表选择" error="点格子右边的小三角，从列表里选一项。" type="list" errorStyle="warning">
      <formula1>"跟着走完,走了一部分,跳过,没注意到"</formula1>
    </dataValidation>
    <dataValidation sqref="C81 C82 C83 C84" showDropDown="0" showInputMessage="0" showErrorMessage="1" allowBlank="1" errorTitle="请从下拉列表选择" error="点格子右边的小三角，从列表里选一项。" type="list" errorStyle="stop">
      <formula1>"A,B,C,D"</formula1>
    </dataValidation>
    <dataValidation sqref="C89 C90 C91 C92 C93" showDropDown="0" showInputMessage="1" showErrorMessage="1" allowBlank="1" errorTitle="请从下拉列表选择" error="点格子右边的小三角，从列表里选一项。" promptTitle="打分" prompt="1 = 完全不同意，5 = 完全同意" type="list" errorStyle="stop">
      <formula1>"1,2,3,4,5"</formula1>
    </dataValidation>
    <dataValidation sqref="C98 C99 C100 C101 C102 C103 C104 C105 C106 C107" showDropDown="0" showInputMessage="1" showErrorMessage="1" allowBlank="1" errorTitle="请从下拉列表选择" error="点格子右边的小三角，从列表里选一项。" promptTitle="SUS 打分" prompt="1 = 非常不同意，5 = 非常同意" type="list" errorStyle="stop">
      <formula1>"1,2,3,4,5"</formula1>
    </dataValidation>
    <dataValidation sqref="C123 C124" showDropDown="0" showInputMessage="0" showErrorMessage="1" allowBlank="1" errorTitle="请从下拉列表选择" error="点格子右边的小三角，从列表里选一项。" type="list" errorStyle="warning">
      <formula1>"同意,不同意"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A108" r:id="rId2"/>
  </hyperlinks>
  <printOptions horizontalCentered="1"/>
  <pageMargins left="0.45" right="0.45" top="0.55" bottom="0.6" header="0.3" footer="0.3"/>
  <pageSetup orientation="portrait" paperSize="9" fitToHeight="0" fitToWidth="1"/>
  <headerFooter>
    <oddHeader/>
    <oddFooter>&amp;C&amp;"微软雅黑"&amp;9 引用体检 · 老师试用记录表　第 &amp;P 页，共 &amp;N 页</oddFooter>
    <evenHeader/>
    <evenFooter/>
    <firstHeader/>
    <firstFooter/>
  </headerFooter>
  <rowBreaks count="5" manualBreakCount="5">
    <brk id="30" min="0" max="16383" man="1"/>
    <brk id="63" min="0" max="16383" man="1"/>
    <brk id="84" min="0" max="16383" man="1"/>
    <brk id="108" min="0" max="16383" man="1"/>
    <brk id="12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引用体检</dc:creator>
  <dc:title xmlns:dc="http://purl.org/dc/elements/1.1/">引用体检 · 老师试用记录表</dc:title>
  <dcterms:created xmlns:dcterms="http://purl.org/dc/terms/" xmlns:xsi="http://www.w3.org/2001/XMLSchema-instance" xsi:type="dcterms:W3CDTF">2026-10-23T01:01:02Z</dcterms:created>
  <dcterms:modified xmlns:dcterms="http://purl.org/dc/terms/" xmlns:xsi="http://www.w3.org/2001/XMLSchema-instance" xsi:type="dcterms:W3CDTF">2026-10-23T01:01:02Z</dcterms:modified>
</cp:coreProperties>
</file>